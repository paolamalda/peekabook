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Precio" sheetId="5" state="visible" r:id="rId5"/>
    <sheet name="Equilibrio" sheetId="6" state="visible" r:id="rId6"/>
    <sheet name="Fluj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Costo y precio de mi producto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Insumo o costo por unidad</t>
        </is>
      </c>
      <c r="B4" s="3" t="inlineStr">
        <is>
          <t>Costo</t>
        </is>
      </c>
    </row>
    <row r="5">
      <c r="A5" s="9" t="n"/>
      <c r="B5" s="5" t="n"/>
    </row>
    <row r="6">
      <c r="A6" s="9" t="n"/>
      <c r="B6" s="5" t="n"/>
    </row>
    <row r="7">
      <c r="A7" s="9" t="n"/>
      <c r="B7" s="5" t="n"/>
    </row>
    <row r="8">
      <c r="A8" s="9" t="n"/>
      <c r="B8" s="5" t="n"/>
    </row>
    <row r="9">
      <c r="A9" s="9" t="n"/>
      <c r="B9" s="5" t="n"/>
    </row>
    <row r="10">
      <c r="A10" s="9" t="n"/>
      <c r="B10" s="5" t="n"/>
    </row>
    <row r="11">
      <c r="A11" s="9" t="n"/>
      <c r="B11" s="5" t="n"/>
    </row>
    <row r="13">
      <c r="A13" t="inlineStr">
        <is>
          <t>Costo total por unidad</t>
        </is>
      </c>
      <c r="B13" s="6">
        <f>SUM(B5:B11)</f>
        <v/>
      </c>
    </row>
    <row r="14">
      <c r="A14" t="inlineStr">
        <is>
          <t>Margen que quiero %</t>
        </is>
      </c>
      <c r="B14" s="9" t="n">
        <v>35</v>
      </c>
    </row>
    <row r="15">
      <c r="A15" t="inlineStr">
        <is>
          <t>Precio sugerido</t>
        </is>
      </c>
      <c r="B15" s="8">
        <f>IF(B14&gt;=100,"",B13/(1-B14/100))</f>
        <v/>
      </c>
    </row>
    <row r="16">
      <c r="A16" t="inlineStr">
        <is>
          <t>Ganancia por unidad</t>
        </is>
      </c>
      <c r="B16" s="6">
        <f>B15-B13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punto de equilibrio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5">
      <c r="A5" t="inlineStr">
        <is>
          <t>Costos fijos del mes (incluye tu sueldo)</t>
        </is>
      </c>
      <c r="B5" s="5" t="n"/>
    </row>
    <row r="6">
      <c r="A6" t="inlineStr">
        <is>
          <t>Precio por unidad</t>
        </is>
      </c>
      <c r="B6" s="5" t="n"/>
    </row>
    <row r="7">
      <c r="A7" t="inlineStr">
        <is>
          <t>Costo variable por unidad</t>
        </is>
      </c>
      <c r="B7" s="5" t="n"/>
    </row>
    <row r="8">
      <c r="A8" t="inlineStr">
        <is>
          <t>Unidades que necesito vender al mes</t>
        </is>
      </c>
      <c r="B8" s="12">
        <f>IF(B6-B7&gt;0,ROUNDUP(B5/(B6-B7),0),"")</f>
        <v/>
      </c>
    </row>
    <row r="9">
      <c r="A9" t="inlineStr">
        <is>
          <t>Al día (26 días)</t>
        </is>
      </c>
      <c r="B9" s="12">
        <f>IF(B8="","",ROUNDUP(B8/26,0))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flujo de 8 semanas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Sem 1</t>
        </is>
      </c>
      <c r="C4" s="3" t="inlineStr">
        <is>
          <t>Sem 2</t>
        </is>
      </c>
      <c r="D4" s="3" t="inlineStr">
        <is>
          <t>Sem 3</t>
        </is>
      </c>
      <c r="E4" s="3" t="inlineStr">
        <is>
          <t>Sem 4</t>
        </is>
      </c>
      <c r="F4" s="3" t="inlineStr">
        <is>
          <t>Sem 5</t>
        </is>
      </c>
      <c r="G4" s="3" t="inlineStr">
        <is>
          <t>Sem 6</t>
        </is>
      </c>
      <c r="H4" s="3" t="inlineStr">
        <is>
          <t>Sem 7</t>
        </is>
      </c>
      <c r="I4" s="3" t="inlineStr">
        <is>
          <t>Sem 8</t>
        </is>
      </c>
    </row>
    <row r="5">
      <c r="A5" t="inlineStr">
        <is>
          <t>Saldo inicial</t>
        </is>
      </c>
      <c r="B5" s="5" t="n"/>
      <c r="C5" s="6">
        <f>B8</f>
        <v/>
      </c>
      <c r="D5" s="6">
        <f>C8</f>
        <v/>
      </c>
      <c r="E5" s="6">
        <f>D8</f>
        <v/>
      </c>
      <c r="F5" s="6">
        <f>E8</f>
        <v/>
      </c>
      <c r="G5" s="6">
        <f>F8</f>
        <v/>
      </c>
      <c r="H5" s="6">
        <f>G8</f>
        <v/>
      </c>
      <c r="I5" s="6">
        <f>H8</f>
        <v/>
      </c>
    </row>
    <row r="6">
      <c r="A6" t="inlineStr">
        <is>
          <t>Entradas (cobros)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t="inlineStr">
        <is>
          <t>Salidas (pagos)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7" t="inlineStr">
        <is>
          <t>Saldo final</t>
        </is>
      </c>
      <c r="B8" s="8">
        <f>B5+B6-B7</f>
        <v/>
      </c>
      <c r="C8" s="8">
        <f>C5+C6-C7</f>
        <v/>
      </c>
      <c r="D8" s="8">
        <f>D5+D6-D7</f>
        <v/>
      </c>
      <c r="E8" s="8">
        <f>E5+E6-E7</f>
        <v/>
      </c>
      <c r="F8" s="8">
        <f>F5+F6-F7</f>
        <v/>
      </c>
      <c r="G8" s="8">
        <f>G5+G6-G7</f>
        <v/>
      </c>
      <c r="H8" s="8">
        <f>H5+H6-H7</f>
        <v/>
      </c>
      <c r="I8" s="8">
        <f>I5+I6-I7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2026-09-30T06:52:16Z</dcterms:created>
  <dcterms:modified xsi:type="dcterms:W3CDTF">2026-09-30T06:52:16Z</dcterms:modified>
</cp:coreProperties>
</file>