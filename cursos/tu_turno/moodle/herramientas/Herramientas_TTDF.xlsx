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Deudas" sheetId="2" state="visible" r:id="rId2"/>
    <sheet name="Fondo" sheetId="3" state="visible" r:id="rId3"/>
    <sheet name="Meta" sheetId="4" state="visible" r:id="rId4"/>
    <sheet name="Quince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0A3161"/>
      <sz val="14"/>
    </font>
    <font>
      <i val="1"/>
      <color rgb="005A6478"/>
    </font>
    <font>
      <b val="1"/>
      <color rgb="00FFFFFF"/>
    </font>
    <font>
      <b val="1"/>
    </font>
    <font>
      <b val="1"/>
      <color rgb="00E4007C"/>
    </font>
  </fonts>
  <fills count="4">
    <fill>
      <patternFill/>
    </fill>
    <fill>
      <patternFill patternType="gray125"/>
    </fill>
    <fill>
      <patternFill patternType="solid">
        <fgColor rgb="000A3161"/>
      </patternFill>
    </fill>
    <fill>
      <patternFill patternType="solid">
        <fgColor rgb="00FFF4FA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presupuesto del mes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Concepto</t>
        </is>
      </c>
      <c r="B4" s="3" t="inlineStr">
        <is>
          <t>Planeado</t>
        </is>
      </c>
      <c r="C4" s="3" t="inlineStr">
        <is>
          <t>Real</t>
        </is>
      </c>
      <c r="D4" s="3" t="inlineStr">
        <is>
          <t>Diferencia</t>
        </is>
      </c>
    </row>
    <row r="5">
      <c r="A5" s="4" t="inlineStr">
        <is>
          <t>Lo que me llega (ingreso neto)</t>
        </is>
      </c>
      <c r="B5" s="5" t="n"/>
      <c r="C5" s="5" t="n"/>
      <c r="D5" s="6">
        <f>C5-B5</f>
        <v/>
      </c>
    </row>
    <row r="6">
      <c r="A6" s="4" t="inlineStr">
        <is>
          <t>Ahorro, apartado primero</t>
        </is>
      </c>
      <c r="B6" s="5" t="n"/>
      <c r="C6" s="5" t="n"/>
      <c r="D6" s="6">
        <f>C6-B6</f>
        <v/>
      </c>
    </row>
    <row r="7">
      <c r="A7" s="4" t="inlineStr">
        <is>
          <t>Renta o vivienda</t>
        </is>
      </c>
      <c r="B7" s="5" t="n"/>
      <c r="C7" s="5" t="n"/>
      <c r="D7" s="6">
        <f>C7-B7</f>
        <v/>
      </c>
    </row>
    <row r="8">
      <c r="A8" s="4" t="inlineStr">
        <is>
          <t>Comida</t>
        </is>
      </c>
      <c r="B8" s="5" t="n"/>
      <c r="C8" s="5" t="n"/>
      <c r="D8" s="6">
        <f>C8-B8</f>
        <v/>
      </c>
    </row>
    <row r="9">
      <c r="A9" s="4" t="inlineStr">
        <is>
          <t>Transporte</t>
        </is>
      </c>
      <c r="B9" s="5" t="n"/>
      <c r="C9" s="5" t="n"/>
      <c r="D9" s="6">
        <f>C9-B9</f>
        <v/>
      </c>
    </row>
    <row r="10">
      <c r="A10" s="4" t="inlineStr">
        <is>
          <t>Luz, agua, gas, internet</t>
        </is>
      </c>
      <c r="B10" s="5" t="n"/>
      <c r="C10" s="5" t="n"/>
      <c r="D10" s="6">
        <f>C10-B10</f>
        <v/>
      </c>
    </row>
    <row r="11">
      <c r="A11" s="4" t="inlineStr">
        <is>
          <t>Pagos de deudas</t>
        </is>
      </c>
      <c r="B11" s="5" t="n"/>
      <c r="C11" s="5" t="n"/>
      <c r="D11" s="6">
        <f>C11-B11</f>
        <v/>
      </c>
    </row>
    <row r="12">
      <c r="A12" s="4" t="inlineStr">
        <is>
          <t>Escuela e hijos</t>
        </is>
      </c>
      <c r="B12" s="5" t="n"/>
      <c r="C12" s="5" t="n"/>
      <c r="D12" s="6">
        <f>C12-B12</f>
        <v/>
      </c>
    </row>
    <row r="13">
      <c r="A13" s="4" t="inlineStr">
        <is>
          <t>Salud</t>
        </is>
      </c>
      <c r="B13" s="5" t="n"/>
      <c r="C13" s="5" t="n"/>
      <c r="D13" s="6">
        <f>C13-B13</f>
        <v/>
      </c>
    </row>
    <row r="14">
      <c r="A14" s="4" t="inlineStr">
        <is>
          <t>Apoyo a la familia</t>
        </is>
      </c>
      <c r="B14" s="5" t="n"/>
      <c r="C14" s="5" t="n"/>
      <c r="D14" s="6">
        <f>C14-B14</f>
        <v/>
      </c>
    </row>
    <row r="15">
      <c r="A15" s="4" t="inlineStr">
        <is>
          <t>Gastos del año (dividido entre 12)</t>
        </is>
      </c>
      <c r="B15" s="5" t="n"/>
      <c r="C15" s="5" t="n"/>
      <c r="D15" s="6">
        <f>C15-B15</f>
        <v/>
      </c>
    </row>
    <row r="16">
      <c r="A16" s="4" t="inlineStr">
        <is>
          <t>Gustos</t>
        </is>
      </c>
      <c r="B16" s="5" t="n"/>
      <c r="C16" s="5" t="n"/>
      <c r="D16" s="6">
        <f>C16-B16</f>
        <v/>
      </c>
    </row>
    <row r="17">
      <c r="A17" s="4" t="inlineStr">
        <is>
          <t>Otros</t>
        </is>
      </c>
      <c r="B17" s="5" t="n"/>
      <c r="C17" s="5" t="n"/>
      <c r="D17" s="6">
        <f>C17-B17</f>
        <v/>
      </c>
    </row>
    <row r="19">
      <c r="A19" s="7" t="inlineStr">
        <is>
          <t>Me queda (ingreso menos ahorro y gastos)</t>
        </is>
      </c>
      <c r="B19" s="8">
        <f>B5-SUM(B6:B17)</f>
        <v/>
      </c>
      <c r="C19" s="8">
        <f>C5-SUM(C6:C17)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lista de deudas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Deuda</t>
        </is>
      </c>
      <c r="B4" s="3" t="inlineStr">
        <is>
          <t>Saldo</t>
        </is>
      </c>
      <c r="C4" s="3" t="inlineStr">
        <is>
          <t>Tasa anual %</t>
        </is>
      </c>
      <c r="D4" s="3" t="inlineStr">
        <is>
          <t>Pago mínimo</t>
        </is>
      </c>
      <c r="E4" s="3" t="inlineStr">
        <is>
          <t>Orden avalancha</t>
        </is>
      </c>
      <c r="F4" s="3" t="inlineStr">
        <is>
          <t>Orden bola de nieve</t>
        </is>
      </c>
    </row>
    <row r="5">
      <c r="A5" s="9" t="n"/>
      <c r="B5" s="5" t="n"/>
      <c r="C5" s="9" t="n"/>
      <c r="D5" s="5" t="n"/>
      <c r="E5">
        <f>IF(C5="","",RANK(C5,$C$5:$C$12,0))</f>
        <v/>
      </c>
      <c r="F5">
        <f>IF(B5="","",RANK(B5,$B$5:$B$12,1))</f>
        <v/>
      </c>
    </row>
    <row r="6">
      <c r="A6" s="9" t="n"/>
      <c r="B6" s="5" t="n"/>
      <c r="C6" s="9" t="n"/>
      <c r="D6" s="5" t="n"/>
      <c r="E6">
        <f>IF(C6="","",RANK(C6,$C$5:$C$12,0))</f>
        <v/>
      </c>
      <c r="F6">
        <f>IF(B6="","",RANK(B6,$B$5:$B$12,1))</f>
        <v/>
      </c>
    </row>
    <row r="7">
      <c r="A7" s="9" t="n"/>
      <c r="B7" s="5" t="n"/>
      <c r="C7" s="9" t="n"/>
      <c r="D7" s="5" t="n"/>
      <c r="E7">
        <f>IF(C7="","",RANK(C7,$C$5:$C$12,0))</f>
        <v/>
      </c>
      <c r="F7">
        <f>IF(B7="","",RANK(B7,$B$5:$B$12,1))</f>
        <v/>
      </c>
    </row>
    <row r="8">
      <c r="A8" s="9" t="n"/>
      <c r="B8" s="5" t="n"/>
      <c r="C8" s="9" t="n"/>
      <c r="D8" s="5" t="n"/>
      <c r="E8">
        <f>IF(C8="","",RANK(C8,$C$5:$C$12,0))</f>
        <v/>
      </c>
      <c r="F8">
        <f>IF(B8="","",RANK(B8,$B$5:$B$12,1))</f>
        <v/>
      </c>
    </row>
    <row r="9">
      <c r="A9" s="9" t="n"/>
      <c r="B9" s="5" t="n"/>
      <c r="C9" s="9" t="n"/>
      <c r="D9" s="5" t="n"/>
      <c r="E9">
        <f>IF(C9="","",RANK(C9,$C$5:$C$12,0))</f>
        <v/>
      </c>
      <c r="F9">
        <f>IF(B9="","",RANK(B9,$B$5:$B$12,1))</f>
        <v/>
      </c>
    </row>
    <row r="10">
      <c r="A10" s="9" t="n"/>
      <c r="B10" s="5" t="n"/>
      <c r="C10" s="9" t="n"/>
      <c r="D10" s="5" t="n"/>
      <c r="E10">
        <f>IF(C10="","",RANK(C10,$C$5:$C$12,0))</f>
        <v/>
      </c>
      <c r="F10">
        <f>IF(B10="","",RANK(B10,$B$5:$B$12,1))</f>
        <v/>
      </c>
    </row>
    <row r="11">
      <c r="A11" s="9" t="n"/>
      <c r="B11" s="5" t="n"/>
      <c r="C11" s="9" t="n"/>
      <c r="D11" s="5" t="n"/>
      <c r="E11">
        <f>IF(C11="","",RANK(C11,$C$5:$C$12,0))</f>
        <v/>
      </c>
      <c r="F11">
        <f>IF(B11="","",RANK(B11,$B$5:$B$12,1))</f>
        <v/>
      </c>
    </row>
    <row r="12">
      <c r="A12" s="9" t="n"/>
      <c r="B12" s="5" t="n"/>
      <c r="C12" s="9" t="n"/>
      <c r="D12" s="5" t="n"/>
      <c r="E12">
        <f>IF(C12="","",RANK(C12,$C$5:$C$12,0))</f>
        <v/>
      </c>
      <c r="F12">
        <f>IF(B12="","",RANK(B12,$B$5:$B$12,1))</f>
        <v/>
      </c>
    </row>
    <row r="14">
      <c r="A14" s="7" t="inlineStr">
        <is>
          <t>Total que debo</t>
        </is>
      </c>
      <c r="B14" s="6">
        <f>SUM(B5:B12)</f>
        <v/>
      </c>
    </row>
    <row r="15">
      <c r="A15" s="7" t="inlineStr">
        <is>
          <t>Total de pagos mínimos al mes</t>
        </is>
      </c>
      <c r="D15" s="6">
        <f>SUM(D5:D12)</f>
        <v/>
      </c>
    </row>
    <row r="17">
      <c r="A17" t="inlineStr">
        <is>
          <t>Avalancha: paga primero la tasa más alta (orden 1). Bola de nieve: paga primero el saldo más chico (orden 1). En las demás, paga el mínimo.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fondo de emergencia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Gastos básicos de un mes</t>
        </is>
      </c>
      <c r="B4" s="5" t="n"/>
    </row>
    <row r="5">
      <c r="A5" t="inlineStr">
        <is>
          <t>Meses que quiero cubrir</t>
        </is>
      </c>
      <c r="B5" s="10" t="n">
        <v>3</v>
      </c>
    </row>
    <row r="6">
      <c r="A6" t="inlineStr">
        <is>
          <t>Mi meta de fondo</t>
        </is>
      </c>
      <c r="B6" s="8">
        <f>B4*B5</f>
        <v/>
      </c>
    </row>
    <row r="7">
      <c r="A7" t="inlineStr">
        <is>
          <t>Lo que ya tengo</t>
        </is>
      </c>
      <c r="B7" s="5" t="n"/>
    </row>
    <row r="8">
      <c r="A8" t="inlineStr">
        <is>
          <t>Lo que aparto cada mes</t>
        </is>
      </c>
      <c r="B8" s="5" t="n"/>
    </row>
    <row r="9">
      <c r="A9" t="inlineStr">
        <is>
          <t>Meses para lograrlo</t>
        </is>
      </c>
      <c r="B9" s="11">
        <f>IF(B8&gt;0,ROUNDUP((B6-B7)/B8,0),"")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meta con interés compuesto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Nombre de mi meta</t>
        </is>
      </c>
      <c r="B4" s="9" t="inlineStr">
        <is>
          <t>Mi fondo</t>
        </is>
      </c>
    </row>
    <row r="5">
      <c r="A5" t="inlineStr">
        <is>
          <t>Lo que aparto cada mes</t>
        </is>
      </c>
      <c r="B5" s="5" t="n">
        <v>500</v>
      </c>
    </row>
    <row r="6">
      <c r="A6" t="inlineStr">
        <is>
          <t>Tasa anual estimada %</t>
        </is>
      </c>
      <c r="B6" s="9" t="n">
        <v>7</v>
      </c>
    </row>
    <row r="7">
      <c r="A7" t="inlineStr">
        <is>
          <t>Años</t>
        </is>
      </c>
      <c r="B7" s="9" t="n">
        <v>5</v>
      </c>
    </row>
    <row r="8">
      <c r="A8" t="inlineStr">
        <is>
          <t>Tendré al final (aprox.)</t>
        </is>
      </c>
      <c r="B8" s="8">
        <f>IF(B6=0,B5*B7*12,FV(B6/100/12,B7*12,-B5,0))</f>
        <v/>
      </c>
    </row>
    <row r="9">
      <c r="A9" t="inlineStr">
        <is>
          <t>De eso, lo que aparté</t>
        </is>
      </c>
      <c r="B9" s="8">
        <f>B5*B7*12</f>
        <v/>
      </c>
    </row>
    <row r="10">
      <c r="A10" t="inlineStr">
        <is>
          <t>Y lo que ganó el interés</t>
        </is>
      </c>
      <c r="B10" s="8">
        <f>B8-B9</f>
        <v/>
      </c>
    </row>
    <row r="12">
      <c r="A12" t="inlineStr">
        <is>
          <t>La tasa es un supuesto para planear; la tasa real puede subir o bajar. Compárala con la inflación.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quincena con turnos extra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Sueldo base de la quincena</t>
        </is>
      </c>
      <c r="B4" s="5" t="n"/>
    </row>
    <row r="5">
      <c r="A5" t="inlineStr">
        <is>
          <t>Turnos extra</t>
        </is>
      </c>
      <c r="B5" s="10" t="n"/>
    </row>
    <row r="6">
      <c r="A6" t="inlineStr">
        <is>
          <t>Pago por turno extra</t>
        </is>
      </c>
      <c r="B6" s="5" t="n"/>
    </row>
    <row r="7">
      <c r="A7" t="inlineStr">
        <is>
          <t>Descuentos (adelantos, préstamos, FONACOT)</t>
        </is>
      </c>
      <c r="B7" s="5" t="n"/>
    </row>
    <row r="8">
      <c r="A8" t="inlineStr">
        <is>
          <t>Lo que me llega</t>
        </is>
      </c>
      <c r="B8" s="8">
        <f>B4+B5*B6-B7</f>
        <v/>
      </c>
    </row>
    <row r="9">
      <c r="A9" t="inlineStr">
        <is>
          <t>Ahorro, apartado primero (10%)</t>
        </is>
      </c>
      <c r="B9" s="8">
        <f>ROUND(B8*0.1,0)</f>
        <v/>
      </c>
    </row>
    <row r="10">
      <c r="A10" t="inlineStr">
        <is>
          <t>Para gastar la quincena</t>
        </is>
      </c>
      <c r="B10" s="8">
        <f>B8-B9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2026-10-07T00:43:37Z</dcterms:created>
  <dcterms:modified xsi:type="dcterms:W3CDTF">2026-10-07T00:43:37Z</dcterms:modified>
</cp:coreProperties>
</file>