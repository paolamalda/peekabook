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Debts" sheetId="2" state="visible" r:id="rId2"/>
    <sheet name="Fund" sheetId="3" state="visible" r:id="rId3"/>
    <sheet name="Goal" sheetId="4" state="visible" r:id="rId4"/>
    <sheet name="Price" sheetId="5" state="visible" r:id="rId5"/>
    <sheet name="Break-even" sheetId="6" state="visible" r:id="rId6"/>
    <sheet name="Cash flo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monthly budget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Item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Difference</t>
        </is>
      </c>
    </row>
    <row r="5">
      <c r="A5" s="4" t="inlineStr">
        <is>
          <t>What I take home (net income)</t>
        </is>
      </c>
      <c r="B5" s="5" t="n"/>
      <c r="C5" s="5" t="n"/>
      <c r="D5" s="6">
        <f>C5-B5</f>
        <v/>
      </c>
    </row>
    <row r="6">
      <c r="A6" s="4" t="inlineStr">
        <is>
          <t>Savings, set aside first</t>
        </is>
      </c>
      <c r="B6" s="5" t="n"/>
      <c r="C6" s="5" t="n"/>
      <c r="D6" s="6">
        <f>C6-B6</f>
        <v/>
      </c>
    </row>
    <row r="7">
      <c r="A7" s="4" t="inlineStr">
        <is>
          <t>Rent or housing</t>
        </is>
      </c>
      <c r="B7" s="5" t="n"/>
      <c r="C7" s="5" t="n"/>
      <c r="D7" s="6">
        <f>C7-B7</f>
        <v/>
      </c>
    </row>
    <row r="8">
      <c r="A8" s="4" t="inlineStr">
        <is>
          <t>Food</t>
        </is>
      </c>
      <c r="B8" s="5" t="n"/>
      <c r="C8" s="5" t="n"/>
      <c r="D8" s="6">
        <f>C8-B8</f>
        <v/>
      </c>
    </row>
    <row r="9">
      <c r="A9" s="4" t="inlineStr">
        <is>
          <t>Transportation</t>
        </is>
      </c>
      <c r="B9" s="5" t="n"/>
      <c r="C9" s="5" t="n"/>
      <c r="D9" s="6">
        <f>C9-B9</f>
        <v/>
      </c>
    </row>
    <row r="10">
      <c r="A10" s="4" t="inlineStr">
        <is>
          <t>Utilities and internet</t>
        </is>
      </c>
      <c r="B10" s="5" t="n"/>
      <c r="C10" s="5" t="n"/>
      <c r="D10" s="6">
        <f>C10-B10</f>
        <v/>
      </c>
    </row>
    <row r="11">
      <c r="A11" s="4" t="inlineStr">
        <is>
          <t>Debt payments</t>
        </is>
      </c>
      <c r="B11" s="5" t="n"/>
      <c r="C11" s="5" t="n"/>
      <c r="D11" s="6">
        <f>C11-B11</f>
        <v/>
      </c>
    </row>
    <row r="12">
      <c r="A12" s="4" t="inlineStr">
        <is>
          <t>School and children</t>
        </is>
      </c>
      <c r="B12" s="5" t="n"/>
      <c r="C12" s="5" t="n"/>
      <c r="D12" s="6">
        <f>C12-B12</f>
        <v/>
      </c>
    </row>
    <row r="13">
      <c r="A13" s="4" t="inlineStr">
        <is>
          <t>Health</t>
        </is>
      </c>
      <c r="B13" s="5" t="n"/>
      <c r="C13" s="5" t="n"/>
      <c r="D13" s="6">
        <f>C13-B13</f>
        <v/>
      </c>
    </row>
    <row r="14">
      <c r="A14" s="4" t="inlineStr">
        <is>
          <t>Family support</t>
        </is>
      </c>
      <c r="B14" s="5" t="n"/>
      <c r="C14" s="5" t="n"/>
      <c r="D14" s="6">
        <f>C14-B14</f>
        <v/>
      </c>
    </row>
    <row r="15">
      <c r="A15" s="4" t="inlineStr">
        <is>
          <t>Yearly expenses (divided by 12)</t>
        </is>
      </c>
      <c r="B15" s="5" t="n"/>
      <c r="C15" s="5" t="n"/>
      <c r="D15" s="6">
        <f>C15-B15</f>
        <v/>
      </c>
    </row>
    <row r="16">
      <c r="A16" s="4" t="inlineStr">
        <is>
          <t>Treats</t>
        </is>
      </c>
      <c r="B16" s="5" t="n"/>
      <c r="C16" s="5" t="n"/>
      <c r="D16" s="6">
        <f>C16-B16</f>
        <v/>
      </c>
    </row>
    <row r="17">
      <c r="A17" s="4" t="inlineStr">
        <is>
          <t>Other</t>
        </is>
      </c>
      <c r="B17" s="5" t="n"/>
      <c r="C17" s="5" t="n"/>
      <c r="D17" s="6">
        <f>C17-B17</f>
        <v/>
      </c>
    </row>
    <row r="19">
      <c r="A19" s="7" t="inlineStr">
        <is>
          <t>Left over (income minus savings and expenses)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debt list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Debt</t>
        </is>
      </c>
      <c r="B4" s="3" t="inlineStr">
        <is>
          <t>Balance</t>
        </is>
      </c>
      <c r="C4" s="3" t="inlineStr">
        <is>
          <t>Annual rate %</t>
        </is>
      </c>
      <c r="D4" s="3" t="inlineStr">
        <is>
          <t>Minimum payment</t>
        </is>
      </c>
      <c r="E4" s="3" t="inlineStr">
        <is>
          <t>Avalanche order</t>
        </is>
      </c>
      <c r="F4" s="3" t="inlineStr">
        <is>
          <t>Snowball order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owed</t>
        </is>
      </c>
      <c r="B14" s="6">
        <f>SUM(B5:B12)</f>
        <v/>
      </c>
    </row>
    <row r="15">
      <c r="A15" s="7" t="inlineStr">
        <is>
          <t>Total minimum payments per month</t>
        </is>
      </c>
      <c r="D15" s="6">
        <f>SUM(D5:D12)</f>
        <v/>
      </c>
    </row>
    <row r="17">
      <c r="A17" t="inlineStr">
        <is>
          <t>Avalanche: pay the highest rate first (order 1). Snowball: pay the smallest balance first (order 1). Pay the minimum on the rest.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emergency fund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Basic expenses for one month</t>
        </is>
      </c>
      <c r="B4" s="5" t="n"/>
    </row>
    <row r="5">
      <c r="A5" t="inlineStr">
        <is>
          <t>Months I want to cover</t>
        </is>
      </c>
      <c r="B5" s="10" t="n">
        <v>3</v>
      </c>
    </row>
    <row r="6">
      <c r="A6" t="inlineStr">
        <is>
          <t>My fund goal</t>
        </is>
      </c>
      <c r="B6" s="8">
        <f>B4*B5</f>
        <v/>
      </c>
    </row>
    <row r="7">
      <c r="A7" t="inlineStr">
        <is>
          <t>What I already have</t>
        </is>
      </c>
      <c r="B7" s="5" t="n"/>
    </row>
    <row r="8">
      <c r="A8" t="inlineStr">
        <is>
          <t>What I set aside each month</t>
        </is>
      </c>
      <c r="B8" s="5" t="n"/>
    </row>
    <row r="9">
      <c r="A9" t="inlineStr">
        <is>
          <t>Months to reach it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goal with compound interest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My goal's name</t>
        </is>
      </c>
      <c r="B4" s="9" t="inlineStr">
        <is>
          <t>My fund</t>
        </is>
      </c>
    </row>
    <row r="5">
      <c r="A5" t="inlineStr">
        <is>
          <t>Monthly deposit</t>
        </is>
      </c>
      <c r="B5" s="5" t="n">
        <v>500</v>
      </c>
    </row>
    <row r="6">
      <c r="A6" t="inlineStr">
        <is>
          <t>Estimated annual rate %</t>
        </is>
      </c>
      <c r="B6" s="9" t="n">
        <v>7</v>
      </c>
    </row>
    <row r="7">
      <c r="A7" t="inlineStr">
        <is>
          <t>Years</t>
        </is>
      </c>
      <c r="B7" s="9" t="n">
        <v>5</v>
      </c>
    </row>
    <row r="8">
      <c r="A8" t="inlineStr">
        <is>
          <t>I'll have at the end (approx.)</t>
        </is>
      </c>
      <c r="B8" s="8">
        <f>IF(B6=0,B5*B7*12,FV(B6/100/12,B7*12,-B5,0))</f>
        <v/>
      </c>
    </row>
    <row r="9">
      <c r="A9" t="inlineStr">
        <is>
          <t>Of that, what I deposited</t>
        </is>
      </c>
      <c r="B9" s="8">
        <f>B5*B7*12</f>
        <v/>
      </c>
    </row>
    <row r="10">
      <c r="A10" t="inlineStr">
        <is>
          <t>And what interest earned</t>
        </is>
      </c>
      <c r="B10" s="8">
        <f>B8-B9</f>
        <v/>
      </c>
    </row>
    <row r="12">
      <c r="A12" t="inlineStr">
        <is>
          <t>The rate is an assumption for planning; the real rate can go up or down. Compare it with inflation.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Cost and price of my product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Supply or cost per unit</t>
        </is>
      </c>
      <c r="B4" s="3" t="inlineStr">
        <is>
          <t>Cost</t>
        </is>
      </c>
    </row>
    <row r="5">
      <c r="A5" s="9" t="n"/>
      <c r="B5" s="5" t="n"/>
    </row>
    <row r="6">
      <c r="A6" s="9" t="n"/>
      <c r="B6" s="5" t="n"/>
    </row>
    <row r="7">
      <c r="A7" s="9" t="n"/>
      <c r="B7" s="5" t="n"/>
    </row>
    <row r="8">
      <c r="A8" s="9" t="n"/>
      <c r="B8" s="5" t="n"/>
    </row>
    <row r="9">
      <c r="A9" s="9" t="n"/>
      <c r="B9" s="5" t="n"/>
    </row>
    <row r="10">
      <c r="A10" s="9" t="n"/>
      <c r="B10" s="5" t="n"/>
    </row>
    <row r="11">
      <c r="A11" s="9" t="n"/>
      <c r="B11" s="5" t="n"/>
    </row>
    <row r="13">
      <c r="A13" t="inlineStr">
        <is>
          <t>Total cost per unit</t>
        </is>
      </c>
      <c r="B13" s="6">
        <f>SUM(B5:B11)</f>
        <v/>
      </c>
    </row>
    <row r="14">
      <c r="A14" t="inlineStr">
        <is>
          <t>Margin I want %</t>
        </is>
      </c>
      <c r="B14" s="9" t="n">
        <v>35</v>
      </c>
    </row>
    <row r="15">
      <c r="A15" t="inlineStr">
        <is>
          <t>Suggested price</t>
        </is>
      </c>
      <c r="B15" s="8">
        <f>IF(B14&gt;=100,"",B13/(1-B14/100))</f>
        <v/>
      </c>
    </row>
    <row r="16">
      <c r="A16" t="inlineStr">
        <is>
          <t>Profit per unit</t>
        </is>
      </c>
      <c r="B16" s="6">
        <f>B15-B13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break-even point</t>
        </is>
      </c>
    </row>
    <row r="2">
      <c r="A2" s="2" t="inlineStr">
        <is>
          <t>Type only in the pink cells. Use made-up or approximate amounts; this file is yours and isn't shared.</t>
        </is>
      </c>
    </row>
    <row r="5">
      <c r="A5" t="inlineStr">
        <is>
          <t>Fixed costs per month (include your salary)</t>
        </is>
      </c>
      <c r="B5" s="5" t="n"/>
    </row>
    <row r="6">
      <c r="A6" t="inlineStr">
        <is>
          <t>Price per unit</t>
        </is>
      </c>
      <c r="B6" s="5" t="n"/>
    </row>
    <row r="7">
      <c r="A7" t="inlineStr">
        <is>
          <t>Variable cost per unit</t>
        </is>
      </c>
      <c r="B7" s="5" t="n"/>
    </row>
    <row r="8">
      <c r="A8" t="inlineStr">
        <is>
          <t>Units I need to sell per month</t>
        </is>
      </c>
      <c r="B8" s="12">
        <f>IF(B6-B7&gt;0,ROUNDUP(B5/(B6-B7),0),"")</f>
        <v/>
      </c>
    </row>
    <row r="9">
      <c r="A9" t="inlineStr">
        <is>
          <t>Per day (26 days)</t>
        </is>
      </c>
      <c r="B9" s="12">
        <f>IF(B8="","",ROUNDUP(B8/26,0))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8-week cash flow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Item</t>
        </is>
      </c>
      <c r="B4" s="3" t="inlineStr">
        <is>
          <t>Wk 1</t>
        </is>
      </c>
      <c r="C4" s="3" t="inlineStr">
        <is>
          <t>Wk 2</t>
        </is>
      </c>
      <c r="D4" s="3" t="inlineStr">
        <is>
          <t>Wk 3</t>
        </is>
      </c>
      <c r="E4" s="3" t="inlineStr">
        <is>
          <t>Wk 4</t>
        </is>
      </c>
      <c r="F4" s="3" t="inlineStr">
        <is>
          <t>Wk 5</t>
        </is>
      </c>
      <c r="G4" s="3" t="inlineStr">
        <is>
          <t>Wk 6</t>
        </is>
      </c>
      <c r="H4" s="3" t="inlineStr">
        <is>
          <t>Wk 7</t>
        </is>
      </c>
      <c r="I4" s="3" t="inlineStr">
        <is>
          <t>Wk 8</t>
        </is>
      </c>
    </row>
    <row r="5">
      <c r="A5" t="inlineStr">
        <is>
          <t>Starting balance</t>
        </is>
      </c>
      <c r="B5" s="5" t="n"/>
      <c r="C5" s="6">
        <f>B8</f>
        <v/>
      </c>
      <c r="D5" s="6">
        <f>C8</f>
        <v/>
      </c>
      <c r="E5" s="6">
        <f>D8</f>
        <v/>
      </c>
      <c r="F5" s="6">
        <f>E8</f>
        <v/>
      </c>
      <c r="G5" s="6">
        <f>F8</f>
        <v/>
      </c>
      <c r="H5" s="6">
        <f>G8</f>
        <v/>
      </c>
      <c r="I5" s="6">
        <f>H8</f>
        <v/>
      </c>
    </row>
    <row r="6">
      <c r="A6" t="inlineStr">
        <is>
          <t>Money in (collections)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t="inlineStr">
        <is>
          <t>Money out (payments)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7" t="inlineStr">
        <is>
          <t>Ending balance</t>
        </is>
      </c>
      <c r="B8" s="8">
        <f>B5+B6-B7</f>
        <v/>
      </c>
      <c r="C8" s="8">
        <f>C5+C6-C7</f>
        <v/>
      </c>
      <c r="D8" s="8">
        <f>D5+D6-D7</f>
        <v/>
      </c>
      <c r="E8" s="8">
        <f>E5+E6-E7</f>
        <v/>
      </c>
      <c r="F8" s="8">
        <f>F5+F6-F7</f>
        <v/>
      </c>
      <c r="G8" s="8">
        <f>G5+G6-G7</f>
        <v/>
      </c>
      <c r="H8" s="8">
        <f>H5+H6-H7</f>
        <v/>
      </c>
      <c r="I8" s="8">
        <f>I5+I6-I7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2026-09-30T11:56:24Z</dcterms:created>
  <dcterms:modified xsi:type="dcterms:W3CDTF">2026-09-30T11:56:24Z</dcterms:modified>
</cp:coreProperties>
</file>