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  <sheet name="Deudas" sheetId="2" state="visible" r:id="rId2"/>
    <sheet name="Fondo" sheetId="3" state="visible" r:id="rId3"/>
    <sheet name="Meta" sheetId="4" state="visible" r:id="rId4"/>
    <sheet name="Precio" sheetId="5" state="visible" r:id="rId5"/>
    <sheet name="Equilibrio" sheetId="6" state="visible" r:id="rId6"/>
    <sheet name="Flujo" sheetId="7" state="visible" r:id="rId7"/>
    <sheet name="Adelant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color rgb="000A3161"/>
      <sz val="14"/>
    </font>
    <font>
      <i val="1"/>
      <color rgb="005A6478"/>
    </font>
    <font>
      <b val="1"/>
      <color rgb="00FFFFFF"/>
    </font>
    <font>
      <b val="1"/>
    </font>
    <font>
      <b val="1"/>
      <color rgb="00E4007C"/>
    </font>
  </fonts>
  <fills count="4">
    <fill>
      <patternFill/>
    </fill>
    <fill>
      <patternFill patternType="gray125"/>
    </fill>
    <fill>
      <patternFill patternType="solid">
        <fgColor rgb="000A3161"/>
      </patternFill>
    </fill>
    <fill>
      <patternFill patternType="solid">
        <fgColor rgb="00FFF4FA"/>
      </patternFill>
    </fill>
  </fills>
  <borders count="2">
    <border>
      <left/>
      <right/>
      <top/>
      <bottom/>
      <diagonal/>
    </border>
    <border>
      <bottom style="thin">
        <color rgb="00C9D3E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0" fillId="0" borderId="1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0" fillId="3" borderId="0" pivotButton="0" quotePrefix="0" xfId="0"/>
    <xf numFmtId="1" fontId="0" fillId="3" borderId="0" pivotButton="0" quotePrefix="0" xfId="0"/>
    <xf numFmtId="1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presupuesto del mes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Concepto</t>
        </is>
      </c>
      <c r="B4" s="3" t="inlineStr">
        <is>
          <t>Planeado</t>
        </is>
      </c>
      <c r="C4" s="3" t="inlineStr">
        <is>
          <t>Real</t>
        </is>
      </c>
      <c r="D4" s="3" t="inlineStr">
        <is>
          <t>Diferencia</t>
        </is>
      </c>
    </row>
    <row r="5">
      <c r="A5" s="4" t="inlineStr">
        <is>
          <t>Lo que me llega (ingreso neto)</t>
        </is>
      </c>
      <c r="B5" s="5" t="n"/>
      <c r="C5" s="5" t="n"/>
      <c r="D5" s="6">
        <f>C5-B5</f>
        <v/>
      </c>
    </row>
    <row r="6">
      <c r="A6" s="4" t="inlineStr">
        <is>
          <t>Ahorro, apartado primero</t>
        </is>
      </c>
      <c r="B6" s="5" t="n"/>
      <c r="C6" s="5" t="n"/>
      <c r="D6" s="6">
        <f>C6-B6</f>
        <v/>
      </c>
    </row>
    <row r="7">
      <c r="A7" s="4" t="inlineStr">
        <is>
          <t>Renta o vivienda</t>
        </is>
      </c>
      <c r="B7" s="5" t="n"/>
      <c r="C7" s="5" t="n"/>
      <c r="D7" s="6">
        <f>C7-B7</f>
        <v/>
      </c>
    </row>
    <row r="8">
      <c r="A8" s="4" t="inlineStr">
        <is>
          <t>Comida</t>
        </is>
      </c>
      <c r="B8" s="5" t="n"/>
      <c r="C8" s="5" t="n"/>
      <c r="D8" s="6">
        <f>C8-B8</f>
        <v/>
      </c>
    </row>
    <row r="9">
      <c r="A9" s="4" t="inlineStr">
        <is>
          <t>Transporte</t>
        </is>
      </c>
      <c r="B9" s="5" t="n"/>
      <c r="C9" s="5" t="n"/>
      <c r="D9" s="6">
        <f>C9-B9</f>
        <v/>
      </c>
    </row>
    <row r="10">
      <c r="A10" s="4" t="inlineStr">
        <is>
          <t>Luz, agua, gas, internet</t>
        </is>
      </c>
      <c r="B10" s="5" t="n"/>
      <c r="C10" s="5" t="n"/>
      <c r="D10" s="6">
        <f>C10-B10</f>
        <v/>
      </c>
    </row>
    <row r="11">
      <c r="A11" s="4" t="inlineStr">
        <is>
          <t>Pagos de deudas</t>
        </is>
      </c>
      <c r="B11" s="5" t="n"/>
      <c r="C11" s="5" t="n"/>
      <c r="D11" s="6">
        <f>C11-B11</f>
        <v/>
      </c>
    </row>
    <row r="12">
      <c r="A12" s="4" t="inlineStr">
        <is>
          <t>Escuela e hijos</t>
        </is>
      </c>
      <c r="B12" s="5" t="n"/>
      <c r="C12" s="5" t="n"/>
      <c r="D12" s="6">
        <f>C12-B12</f>
        <v/>
      </c>
    </row>
    <row r="13">
      <c r="A13" s="4" t="inlineStr">
        <is>
          <t>Salud</t>
        </is>
      </c>
      <c r="B13" s="5" t="n"/>
      <c r="C13" s="5" t="n"/>
      <c r="D13" s="6">
        <f>C13-B13</f>
        <v/>
      </c>
    </row>
    <row r="14">
      <c r="A14" s="4" t="inlineStr">
        <is>
          <t>Apoyo a la familia</t>
        </is>
      </c>
      <c r="B14" s="5" t="n"/>
      <c r="C14" s="5" t="n"/>
      <c r="D14" s="6">
        <f>C14-B14</f>
        <v/>
      </c>
    </row>
    <row r="15">
      <c r="A15" s="4" t="inlineStr">
        <is>
          <t>Gastos del año (dividido entre 12)</t>
        </is>
      </c>
      <c r="B15" s="5" t="n"/>
      <c r="C15" s="5" t="n"/>
      <c r="D15" s="6">
        <f>C15-B15</f>
        <v/>
      </c>
    </row>
    <row r="16">
      <c r="A16" s="4" t="inlineStr">
        <is>
          <t>Gustos</t>
        </is>
      </c>
      <c r="B16" s="5" t="n"/>
      <c r="C16" s="5" t="n"/>
      <c r="D16" s="6">
        <f>C16-B16</f>
        <v/>
      </c>
    </row>
    <row r="17">
      <c r="A17" s="4" t="inlineStr">
        <is>
          <t>Otros</t>
        </is>
      </c>
      <c r="B17" s="5" t="n"/>
      <c r="C17" s="5" t="n"/>
      <c r="D17" s="6">
        <f>C17-B17</f>
        <v/>
      </c>
    </row>
    <row r="19">
      <c r="A19" s="7" t="inlineStr">
        <is>
          <t>Me queda (ingreso menos ahorro y gastos)</t>
        </is>
      </c>
      <c r="B19" s="8">
        <f>B5-SUM(B6:B17)</f>
        <v/>
      </c>
      <c r="C19" s="8">
        <f>C5-SUM(C6:C17)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lista de deudas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Deuda</t>
        </is>
      </c>
      <c r="B4" s="3" t="inlineStr">
        <is>
          <t>Saldo</t>
        </is>
      </c>
      <c r="C4" s="3" t="inlineStr">
        <is>
          <t>Tasa anual %</t>
        </is>
      </c>
      <c r="D4" s="3" t="inlineStr">
        <is>
          <t>Pago mínimo</t>
        </is>
      </c>
      <c r="E4" s="3" t="inlineStr">
        <is>
          <t>Orden avalancha</t>
        </is>
      </c>
      <c r="F4" s="3" t="inlineStr">
        <is>
          <t>Orden bola de nieve</t>
        </is>
      </c>
    </row>
    <row r="5">
      <c r="A5" s="9" t="n"/>
      <c r="B5" s="5" t="n"/>
      <c r="C5" s="9" t="n"/>
      <c r="D5" s="5" t="n"/>
      <c r="E5">
        <f>IF(C5="","",RANK(C5,$C$5:$C$12,0))</f>
        <v/>
      </c>
      <c r="F5">
        <f>IF(B5="","",RANK(B5,$B$5:$B$12,1))</f>
        <v/>
      </c>
    </row>
    <row r="6">
      <c r="A6" s="9" t="n"/>
      <c r="B6" s="5" t="n"/>
      <c r="C6" s="9" t="n"/>
      <c r="D6" s="5" t="n"/>
      <c r="E6">
        <f>IF(C6="","",RANK(C6,$C$5:$C$12,0))</f>
        <v/>
      </c>
      <c r="F6">
        <f>IF(B6="","",RANK(B6,$B$5:$B$12,1))</f>
        <v/>
      </c>
    </row>
    <row r="7">
      <c r="A7" s="9" t="n"/>
      <c r="B7" s="5" t="n"/>
      <c r="C7" s="9" t="n"/>
      <c r="D7" s="5" t="n"/>
      <c r="E7">
        <f>IF(C7="","",RANK(C7,$C$5:$C$12,0))</f>
        <v/>
      </c>
      <c r="F7">
        <f>IF(B7="","",RANK(B7,$B$5:$B$12,1))</f>
        <v/>
      </c>
    </row>
    <row r="8">
      <c r="A8" s="9" t="n"/>
      <c r="B8" s="5" t="n"/>
      <c r="C8" s="9" t="n"/>
      <c r="D8" s="5" t="n"/>
      <c r="E8">
        <f>IF(C8="","",RANK(C8,$C$5:$C$12,0))</f>
        <v/>
      </c>
      <c r="F8">
        <f>IF(B8="","",RANK(B8,$B$5:$B$12,1))</f>
        <v/>
      </c>
    </row>
    <row r="9">
      <c r="A9" s="9" t="n"/>
      <c r="B9" s="5" t="n"/>
      <c r="C9" s="9" t="n"/>
      <c r="D9" s="5" t="n"/>
      <c r="E9">
        <f>IF(C9="","",RANK(C9,$C$5:$C$12,0))</f>
        <v/>
      </c>
      <c r="F9">
        <f>IF(B9="","",RANK(B9,$B$5:$B$12,1))</f>
        <v/>
      </c>
    </row>
    <row r="10">
      <c r="A10" s="9" t="n"/>
      <c r="B10" s="5" t="n"/>
      <c r="C10" s="9" t="n"/>
      <c r="D10" s="5" t="n"/>
      <c r="E10">
        <f>IF(C10="","",RANK(C10,$C$5:$C$12,0))</f>
        <v/>
      </c>
      <c r="F10">
        <f>IF(B10="","",RANK(B10,$B$5:$B$12,1))</f>
        <v/>
      </c>
    </row>
    <row r="11">
      <c r="A11" s="9" t="n"/>
      <c r="B11" s="5" t="n"/>
      <c r="C11" s="9" t="n"/>
      <c r="D11" s="5" t="n"/>
      <c r="E11">
        <f>IF(C11="","",RANK(C11,$C$5:$C$12,0))</f>
        <v/>
      </c>
      <c r="F11">
        <f>IF(B11="","",RANK(B11,$B$5:$B$12,1))</f>
        <v/>
      </c>
    </row>
    <row r="12">
      <c r="A12" s="9" t="n"/>
      <c r="B12" s="5" t="n"/>
      <c r="C12" s="9" t="n"/>
      <c r="D12" s="5" t="n"/>
      <c r="E12">
        <f>IF(C12="","",RANK(C12,$C$5:$C$12,0))</f>
        <v/>
      </c>
      <c r="F12">
        <f>IF(B12="","",RANK(B12,$B$5:$B$12,1))</f>
        <v/>
      </c>
    </row>
    <row r="14">
      <c r="A14" s="7" t="inlineStr">
        <is>
          <t>Total que debo</t>
        </is>
      </c>
      <c r="B14" s="6">
        <f>SUM(B5:B12)</f>
        <v/>
      </c>
    </row>
    <row r="15">
      <c r="A15" s="7" t="inlineStr">
        <is>
          <t>Total de pagos mínimos al mes</t>
        </is>
      </c>
      <c r="D15" s="6">
        <f>SUM(D5:D12)</f>
        <v/>
      </c>
    </row>
    <row r="17">
      <c r="A17" t="inlineStr">
        <is>
          <t>Avalancha: paga primero la tasa más alta (orden 1). Bola de nieve: paga primero el saldo más chico (orden 1). En las demás, paga el mínimo.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fondo de emergencia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t="inlineStr">
        <is>
          <t>Gastos básicos de un mes</t>
        </is>
      </c>
      <c r="B4" s="5" t="n"/>
    </row>
    <row r="5">
      <c r="A5" t="inlineStr">
        <is>
          <t>Meses que quiero cubrir</t>
        </is>
      </c>
      <c r="B5" s="10" t="n">
        <v>3</v>
      </c>
    </row>
    <row r="6">
      <c r="A6" t="inlineStr">
        <is>
          <t>Mi meta de fondo</t>
        </is>
      </c>
      <c r="B6" s="8">
        <f>B4*B5</f>
        <v/>
      </c>
    </row>
    <row r="7">
      <c r="A7" t="inlineStr">
        <is>
          <t>Lo que ya tengo</t>
        </is>
      </c>
      <c r="B7" s="5" t="n"/>
    </row>
    <row r="8">
      <c r="A8" t="inlineStr">
        <is>
          <t>Lo que aparto cada mes</t>
        </is>
      </c>
      <c r="B8" s="5" t="n"/>
    </row>
    <row r="9">
      <c r="A9" t="inlineStr">
        <is>
          <t>Meses para lograrlo</t>
        </is>
      </c>
      <c r="B9" s="11">
        <f>IF(B8&gt;0,ROUNDUP((B6-B7)/B8,0),"")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meta con interés compuesto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t="inlineStr">
        <is>
          <t>Nombre de mi meta</t>
        </is>
      </c>
      <c r="B4" s="9" t="inlineStr">
        <is>
          <t>Mi fondo</t>
        </is>
      </c>
    </row>
    <row r="5">
      <c r="A5" t="inlineStr">
        <is>
          <t>Lo que aparto cada mes</t>
        </is>
      </c>
      <c r="B5" s="5" t="n">
        <v>500</v>
      </c>
    </row>
    <row r="6">
      <c r="A6" t="inlineStr">
        <is>
          <t>Tasa anual estimada %</t>
        </is>
      </c>
      <c r="B6" s="9" t="n">
        <v>7</v>
      </c>
    </row>
    <row r="7">
      <c r="A7" t="inlineStr">
        <is>
          <t>Años</t>
        </is>
      </c>
      <c r="B7" s="9" t="n">
        <v>5</v>
      </c>
    </row>
    <row r="8">
      <c r="A8" t="inlineStr">
        <is>
          <t>Tendré al final (aprox.)</t>
        </is>
      </c>
      <c r="B8" s="8">
        <f>IF(B6=0,B5*B7*12,FV(B6/100/12,B7*12,-B5,0))</f>
        <v/>
      </c>
    </row>
    <row r="9">
      <c r="A9" t="inlineStr">
        <is>
          <t>De eso, lo que aparté</t>
        </is>
      </c>
      <c r="B9" s="8">
        <f>B5*B7*12</f>
        <v/>
      </c>
    </row>
    <row r="10">
      <c r="A10" t="inlineStr">
        <is>
          <t>Y lo que ganó el interés</t>
        </is>
      </c>
      <c r="B10" s="8">
        <f>B8-B9</f>
        <v/>
      </c>
    </row>
    <row r="12">
      <c r="A12" t="inlineStr">
        <is>
          <t>La tasa es un supuesto para planear; la tasa real puede subir o bajar. Compárala con la inflación.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Costo y precio de mi producto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Insumo o costo por unidad</t>
        </is>
      </c>
      <c r="B4" s="3" t="inlineStr">
        <is>
          <t>Costo</t>
        </is>
      </c>
    </row>
    <row r="5">
      <c r="A5" s="9" t="n"/>
      <c r="B5" s="5" t="n"/>
    </row>
    <row r="6">
      <c r="A6" s="9" t="n"/>
      <c r="B6" s="5" t="n"/>
    </row>
    <row r="7">
      <c r="A7" s="9" t="n"/>
      <c r="B7" s="5" t="n"/>
    </row>
    <row r="8">
      <c r="A8" s="9" t="n"/>
      <c r="B8" s="5" t="n"/>
    </row>
    <row r="9">
      <c r="A9" s="9" t="n"/>
      <c r="B9" s="5" t="n"/>
    </row>
    <row r="10">
      <c r="A10" s="9" t="n"/>
      <c r="B10" s="5" t="n"/>
    </row>
    <row r="11">
      <c r="A11" s="9" t="n"/>
      <c r="B11" s="5" t="n"/>
    </row>
    <row r="13">
      <c r="A13" t="inlineStr">
        <is>
          <t>Costo total por unidad</t>
        </is>
      </c>
      <c r="B13" s="6">
        <f>SUM(B5:B11)</f>
        <v/>
      </c>
    </row>
    <row r="14">
      <c r="A14" t="inlineStr">
        <is>
          <t>Margen que quiero %</t>
        </is>
      </c>
      <c r="B14" s="9" t="n">
        <v>35</v>
      </c>
    </row>
    <row r="15">
      <c r="A15" t="inlineStr">
        <is>
          <t>Precio sugerido</t>
        </is>
      </c>
      <c r="B15" s="8">
        <f>IF(B14&gt;=100,"",B13/(1-B14/100))</f>
        <v/>
      </c>
    </row>
    <row r="16">
      <c r="A16" t="inlineStr">
        <is>
          <t>Ganancia por unidad</t>
        </is>
      </c>
      <c r="B16" s="6">
        <f>B15-B13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punto de equilibrio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5">
      <c r="A5" t="inlineStr">
        <is>
          <t>Costos fijos del mes (incluye tu sueldo)</t>
        </is>
      </c>
      <c r="B5" s="5" t="n"/>
    </row>
    <row r="6">
      <c r="A6" t="inlineStr">
        <is>
          <t>Precio por unidad</t>
        </is>
      </c>
      <c r="B6" s="5" t="n"/>
    </row>
    <row r="7">
      <c r="A7" t="inlineStr">
        <is>
          <t>Costo variable por unidad</t>
        </is>
      </c>
      <c r="B7" s="5" t="n"/>
    </row>
    <row r="8">
      <c r="A8" t="inlineStr">
        <is>
          <t>Unidades que necesito vender al mes</t>
        </is>
      </c>
      <c r="B8" s="12">
        <f>IF(B6-B7&gt;0,ROUNDUP(B5/(B6-B7),0),"")</f>
        <v/>
      </c>
    </row>
    <row r="9">
      <c r="A9" t="inlineStr">
        <is>
          <t>Al día (26 días)</t>
        </is>
      </c>
      <c r="B9" s="12">
        <f>IF(B8="","",ROUNDUP(B8/26,0))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flujo de 8 semanas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Concepto</t>
        </is>
      </c>
      <c r="B4" s="3" t="inlineStr">
        <is>
          <t>Sem 1</t>
        </is>
      </c>
      <c r="C4" s="3" t="inlineStr">
        <is>
          <t>Sem 2</t>
        </is>
      </c>
      <c r="D4" s="3" t="inlineStr">
        <is>
          <t>Sem 3</t>
        </is>
      </c>
      <c r="E4" s="3" t="inlineStr">
        <is>
          <t>Sem 4</t>
        </is>
      </c>
      <c r="F4" s="3" t="inlineStr">
        <is>
          <t>Sem 5</t>
        </is>
      </c>
      <c r="G4" s="3" t="inlineStr">
        <is>
          <t>Sem 6</t>
        </is>
      </c>
      <c r="H4" s="3" t="inlineStr">
        <is>
          <t>Sem 7</t>
        </is>
      </c>
      <c r="I4" s="3" t="inlineStr">
        <is>
          <t>Sem 8</t>
        </is>
      </c>
    </row>
    <row r="5">
      <c r="A5" t="inlineStr">
        <is>
          <t>Saldo inicial</t>
        </is>
      </c>
      <c r="B5" s="5" t="n"/>
      <c r="C5" s="6">
        <f>B8</f>
        <v/>
      </c>
      <c r="D5" s="6">
        <f>C8</f>
        <v/>
      </c>
      <c r="E5" s="6">
        <f>D8</f>
        <v/>
      </c>
      <c r="F5" s="6">
        <f>E8</f>
        <v/>
      </c>
      <c r="G5" s="6">
        <f>F8</f>
        <v/>
      </c>
      <c r="H5" s="6">
        <f>G8</f>
        <v/>
      </c>
      <c r="I5" s="6">
        <f>H8</f>
        <v/>
      </c>
    </row>
    <row r="6">
      <c r="A6" t="inlineStr">
        <is>
          <t>Entradas (cobros)</t>
        </is>
      </c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t="inlineStr">
        <is>
          <t>Salidas (pagos)</t>
        </is>
      </c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7" t="inlineStr">
        <is>
          <t>Saldo final</t>
        </is>
      </c>
      <c r="B8" s="8">
        <f>B5+B6-B7</f>
        <v/>
      </c>
      <c r="C8" s="8">
        <f>C5+C6-C7</f>
        <v/>
      </c>
      <c r="D8" s="8">
        <f>D5+D6-D7</f>
        <v/>
      </c>
      <c r="E8" s="8">
        <f>E5+E6-E7</f>
        <v/>
      </c>
      <c r="F8" s="8">
        <f>F5+F6-F7</f>
        <v/>
      </c>
      <c r="G8" s="8">
        <f>G5+G6-G7</f>
        <v/>
      </c>
      <c r="H8" s="8">
        <f>H5+H6-H7</f>
        <v/>
      </c>
      <c r="I8" s="8">
        <f>I5+I6-I7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Adelantos a mi equipo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Persona (apodo)</t>
        </is>
      </c>
      <c r="B4" s="3" t="inlineStr">
        <is>
          <t>Adelanto</t>
        </is>
      </c>
      <c r="C4" s="3" t="inlineStr">
        <is>
          <t>Descuento por pago</t>
        </is>
      </c>
      <c r="D4" s="3" t="inlineStr">
        <is>
          <t>Pagos hechos</t>
        </is>
      </c>
      <c r="E4" s="3" t="inlineStr">
        <is>
          <t>Falta</t>
        </is>
      </c>
      <c r="F4" s="3" t="inlineStr">
        <is>
          <t>Pagos que faltan</t>
        </is>
      </c>
    </row>
    <row r="5">
      <c r="A5" s="9" t="n"/>
      <c r="B5" s="5" t="n"/>
      <c r="C5" s="5" t="n"/>
      <c r="D5" s="10" t="n"/>
      <c r="E5" s="8">
        <f>MAX(B5-C5*D5,0)</f>
        <v/>
      </c>
      <c r="F5" s="11">
        <f>IF(C5&gt;0,ROUNDUP(E5/C5,0),"")</f>
        <v/>
      </c>
    </row>
    <row r="6">
      <c r="A6" s="9" t="n"/>
      <c r="B6" s="5" t="n"/>
      <c r="C6" s="5" t="n"/>
      <c r="D6" s="10" t="n"/>
      <c r="E6" s="8">
        <f>MAX(B6-C6*D6,0)</f>
        <v/>
      </c>
      <c r="F6" s="11">
        <f>IF(C6&gt;0,ROUNDUP(E6/C6,0),"")</f>
        <v/>
      </c>
    </row>
    <row r="7">
      <c r="A7" s="9" t="n"/>
      <c r="B7" s="5" t="n"/>
      <c r="C7" s="5" t="n"/>
      <c r="D7" s="10" t="n"/>
      <c r="E7" s="8">
        <f>MAX(B7-C7*D7,0)</f>
        <v/>
      </c>
      <c r="F7" s="11">
        <f>IF(C7&gt;0,ROUNDUP(E7/C7,0),"")</f>
        <v/>
      </c>
    </row>
    <row r="8">
      <c r="A8" s="9" t="n"/>
      <c r="B8" s="5" t="n"/>
      <c r="C8" s="5" t="n"/>
      <c r="D8" s="10" t="n"/>
      <c r="E8" s="8">
        <f>MAX(B8-C8*D8,0)</f>
        <v/>
      </c>
      <c r="F8" s="11">
        <f>IF(C8&gt;0,ROUNDUP(E8/C8,0),"")</f>
        <v/>
      </c>
    </row>
    <row r="9">
      <c r="A9" s="9" t="n"/>
      <c r="B9" s="5" t="n"/>
      <c r="C9" s="5" t="n"/>
      <c r="D9" s="10" t="n"/>
      <c r="E9" s="8">
        <f>MAX(B9-C9*D9,0)</f>
        <v/>
      </c>
      <c r="F9" s="11">
        <f>IF(C9&gt;0,ROUNDUP(E9/C9,0),"")</f>
        <v/>
      </c>
    </row>
    <row r="10">
      <c r="A10" s="9" t="n"/>
      <c r="B10" s="5" t="n"/>
      <c r="C10" s="5" t="n"/>
      <c r="D10" s="10" t="n"/>
      <c r="E10" s="8">
        <f>MAX(B10-C10*D10,0)</f>
        <v/>
      </c>
      <c r="F10" s="11">
        <f>IF(C10&gt;0,ROUNDUP(E10/C10,0),"")</f>
        <v/>
      </c>
    </row>
    <row r="11">
      <c r="A11" s="9" t="n"/>
      <c r="B11" s="5" t="n"/>
      <c r="C11" s="5" t="n"/>
      <c r="D11" s="10" t="n"/>
      <c r="E11" s="8">
        <f>MAX(B11-C11*D11,0)</f>
        <v/>
      </c>
      <c r="F11" s="11">
        <f>IF(C11&gt;0,ROUNDUP(E11/C11,0),"")</f>
        <v/>
      </c>
    </row>
    <row r="12">
      <c r="A12" s="9" t="n"/>
      <c r="B12" s="5" t="n"/>
      <c r="C12" s="5" t="n"/>
      <c r="D12" s="10" t="n"/>
      <c r="E12" s="8">
        <f>MAX(B12-C12*D12,0)</f>
        <v/>
      </c>
      <c r="F12" s="11">
        <f>IF(C12&gt;0,ROUNDUP(E12/C12,0),"")</f>
        <v/>
      </c>
    </row>
    <row r="14">
      <c r="A14" t="inlineStr">
        <is>
          <t>Fondo de adelantos del mes</t>
        </is>
      </c>
      <c r="B14" s="5" t="n"/>
    </row>
    <row r="15">
      <c r="A15" s="7" t="inlineStr">
        <is>
          <t>Me queda en el fondo</t>
        </is>
      </c>
      <c r="B15" s="8">
        <f>B14-SUM(B5:B12)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2026-10-06T18:22:01Z</dcterms:created>
  <dcterms:modified xsi:type="dcterms:W3CDTF">2026-10-06T18:22:01Z</dcterms:modified>
</cp:coreProperties>
</file>